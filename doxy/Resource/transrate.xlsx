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Workplace\WonderStewEngine_Developper\WonderStewEngine\doxy\Resource\"/>
    </mc:Choice>
  </mc:AlternateContent>
  <xr:revisionPtr revIDLastSave="0" documentId="13_ncr:1_{353C3835-88AE-47D1-A28A-0FCD7D479675}" xr6:coauthVersionLast="47" xr6:coauthVersionMax="47" xr10:uidLastSave="{00000000-0000-0000-0000-000000000000}"/>
  <bookViews>
    <workbookView xWindow="-96" yWindow="-96" windowWidth="17472" windowHeight="10992" xr2:uid="{00000000-000D-0000-FFFF-FFFF00000000}"/>
  </bookViews>
  <sheets>
    <sheet name="Sheet1" sheetId="1" r:id="rId1"/>
    <sheet name="La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8" i="1" l="1"/>
  <c r="I109" i="1"/>
  <c r="H109" i="1"/>
  <c r="H108" i="1"/>
  <c r="C47" i="1"/>
  <c r="C46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X108" i="1"/>
  <c r="X109" i="1"/>
  <c r="R108" i="1"/>
  <c r="S108" i="1"/>
  <c r="T108" i="1"/>
  <c r="U108" i="1"/>
  <c r="V108" i="1"/>
  <c r="W108" i="1"/>
  <c r="R109" i="1"/>
  <c r="S109" i="1"/>
  <c r="T109" i="1"/>
  <c r="U109" i="1"/>
  <c r="V109" i="1"/>
  <c r="W109" i="1"/>
  <c r="M108" i="1"/>
  <c r="N108" i="1"/>
  <c r="O108" i="1"/>
  <c r="P108" i="1"/>
  <c r="Q108" i="1"/>
  <c r="M109" i="1"/>
  <c r="N109" i="1"/>
  <c r="O109" i="1"/>
  <c r="P109" i="1"/>
  <c r="Q109" i="1"/>
  <c r="L109" i="1"/>
  <c r="L108" i="1"/>
  <c r="B27" i="1"/>
  <c r="C26" i="1"/>
  <c r="B26" i="1" s="1"/>
  <c r="C22" i="1"/>
  <c r="B22" i="1" s="1"/>
  <c r="C103" i="1"/>
  <c r="C102" i="1"/>
  <c r="C101" i="1"/>
  <c r="C100" i="1"/>
  <c r="C96" i="1"/>
  <c r="C95" i="1"/>
  <c r="C43" i="1"/>
  <c r="C44" i="1"/>
  <c r="C45" i="1"/>
  <c r="C48" i="1"/>
  <c r="F109" i="1"/>
  <c r="F108" i="1"/>
  <c r="C14" i="1"/>
  <c r="B14" i="1" s="1"/>
  <c r="C18" i="1"/>
  <c r="B18" i="1" s="1"/>
  <c r="C10" i="1"/>
  <c r="B7" i="1" s="1"/>
  <c r="C6" i="1"/>
  <c r="B6" i="1" s="1"/>
  <c r="B30" i="1"/>
  <c r="B32" i="1" s="1"/>
  <c r="C91" i="1"/>
  <c r="C90" i="1"/>
  <c r="C89" i="1"/>
  <c r="C88" i="1"/>
  <c r="C84" i="1"/>
  <c r="C83" i="1"/>
  <c r="C82" i="1"/>
  <c r="C81" i="1"/>
  <c r="C54" i="1"/>
  <c r="C53" i="1"/>
  <c r="C52" i="1"/>
  <c r="B4" i="1"/>
  <c r="B3" i="1"/>
  <c r="G109" i="1"/>
  <c r="G108" i="1"/>
  <c r="K109" i="1"/>
  <c r="K108" i="1"/>
  <c r="J109" i="1"/>
  <c r="J108" i="1"/>
  <c r="E109" i="1"/>
  <c r="E108" i="1"/>
  <c r="C42" i="1"/>
  <c r="B19" i="1" l="1"/>
  <c r="B23" i="1"/>
  <c r="B11" i="1"/>
  <c r="B15" i="1"/>
  <c r="B10" i="1"/>
  <c r="B31" i="1"/>
  <c r="B33" i="1"/>
</calcChain>
</file>

<file path=xl/sharedStrings.xml><?xml version="1.0" encoding="utf-8"?>
<sst xmlns="http://schemas.openxmlformats.org/spreadsheetml/2006/main" count="276" uniqueCount="192">
  <si>
    <t>ja</t>
    <phoneticPr fontId="1"/>
  </si>
  <si>
    <t>en</t>
    <phoneticPr fontId="1"/>
  </si>
  <si>
    <t>de</t>
    <phoneticPr fontId="1"/>
  </si>
  <si>
    <t>fr</t>
    <phoneticPr fontId="1"/>
  </si>
  <si>
    <t>ko</t>
    <phoneticPr fontId="1"/>
  </si>
  <si>
    <t>hi</t>
    <phoneticPr fontId="1"/>
  </si>
  <si>
    <t>zh</t>
    <phoneticPr fontId="1"/>
  </si>
  <si>
    <t>Japanese</t>
    <phoneticPr fontId="1"/>
  </si>
  <si>
    <t>English</t>
    <phoneticPr fontId="1"/>
  </si>
  <si>
    <t>Simplified Chinese</t>
    <phoneticPr fontId="1"/>
  </si>
  <si>
    <t>French</t>
    <phoneticPr fontId="1"/>
  </si>
  <si>
    <t>German</t>
    <phoneticPr fontId="1"/>
  </si>
  <si>
    <t>Korean</t>
    <phoneticPr fontId="1"/>
  </si>
  <si>
    <t>Hindi</t>
    <phoneticPr fontId="1"/>
  </si>
  <si>
    <t>Header Information</t>
    <phoneticPr fontId="2"/>
  </si>
  <si>
    <t>Contents start row</t>
    <phoneticPr fontId="2"/>
  </si>
  <si>
    <t>Contents end row</t>
    <phoneticPr fontId="2"/>
  </si>
  <si>
    <t>Contents start col</t>
    <phoneticPr fontId="2"/>
  </si>
  <si>
    <t>Contents end col</t>
    <phoneticPr fontId="2"/>
  </si>
  <si>
    <t>Generated Directory</t>
    <phoneticPr fontId="2"/>
  </si>
  <si>
    <t>doxy</t>
    <phoneticPr fontId="2"/>
  </si>
  <si>
    <t>MainPage</t>
    <phoneticPr fontId="2"/>
  </si>
  <si>
    <t>README.md</t>
    <phoneticPr fontId="2"/>
  </si>
  <si>
    <t>Setup</t>
    <phoneticPr fontId="2"/>
  </si>
  <si>
    <t>SETUP.md</t>
    <phoneticPr fontId="2"/>
  </si>
  <si>
    <t>How to</t>
    <phoneticPr fontId="2"/>
  </si>
  <si>
    <t>HOWTO.md</t>
    <phoneticPr fontId="2"/>
  </si>
  <si>
    <t>LICENSE</t>
    <phoneticPr fontId="2"/>
  </si>
  <si>
    <t>LICENSE.md</t>
    <phoneticPr fontId="2"/>
  </si>
  <si>
    <t>DoxySettingParam</t>
    <phoneticPr fontId="2"/>
  </si>
  <si>
    <t>col</t>
    <phoneticPr fontId="2"/>
  </si>
  <si>
    <t>Param1</t>
    <phoneticPr fontId="2"/>
  </si>
  <si>
    <t>OUTPUT_LANGUAGE</t>
    <phoneticPr fontId="2"/>
  </si>
  <si>
    <t>Param2</t>
  </si>
  <si>
    <t>OUTPUT_DIRECTORY</t>
    <phoneticPr fontId="2"/>
  </si>
  <si>
    <t>Param3</t>
  </si>
  <si>
    <t>WARN_LOGFILE</t>
    <phoneticPr fontId="2"/>
  </si>
  <si>
    <t>Param4</t>
  </si>
  <si>
    <t>USE_MDFILE_AS_MAINPAGE</t>
    <phoneticPr fontId="2"/>
  </si>
  <si>
    <t>Doxygen</t>
  </si>
  <si>
    <t>Batch</t>
  </si>
  <si>
    <t>ja</t>
  </si>
  <si>
    <t>Japanese</t>
  </si>
  <si>
    <t>English</t>
  </si>
  <si>
    <t>en</t>
  </si>
  <si>
    <t>tag</t>
    <phoneticPr fontId="1"/>
  </si>
  <si>
    <t>Code</t>
    <phoneticPr fontId="1"/>
  </si>
  <si>
    <t>Jp</t>
    <phoneticPr fontId="1"/>
  </si>
  <si>
    <t>Language</t>
    <phoneticPr fontId="1"/>
  </si>
  <si>
    <r>
      <rPr>
        <b/>
        <sz val="11"/>
        <color theme="1"/>
        <rFont val="Yu Gothic"/>
        <family val="3"/>
        <charset val="128"/>
      </rPr>
      <t>〇</t>
    </r>
    <r>
      <rPr>
        <b/>
        <sz val="11"/>
        <color theme="1"/>
        <rFont val="Verdana"/>
        <family val="2"/>
      </rPr>
      <t xml:space="preserve"> Contents</t>
    </r>
    <phoneticPr fontId="1"/>
  </si>
  <si>
    <r>
      <rPr>
        <sz val="11"/>
        <color theme="1"/>
        <rFont val="Yu Gothic"/>
        <family val="2"/>
      </rPr>
      <t>日本語</t>
    </r>
  </si>
  <si>
    <r>
      <rPr>
        <sz val="11"/>
        <color theme="1"/>
        <rFont val="Yu Gothic"/>
        <family val="2"/>
      </rPr>
      <t>英語</t>
    </r>
  </si>
  <si>
    <t>Header start row</t>
    <phoneticPr fontId="1"/>
  </si>
  <si>
    <t>Header end row</t>
    <phoneticPr fontId="1"/>
  </si>
  <si>
    <t>Header start col</t>
    <phoneticPr fontId="1"/>
  </si>
  <si>
    <t>Header end col</t>
    <phoneticPr fontId="1"/>
  </si>
  <si>
    <t>Start row Doxy</t>
    <phoneticPr fontId="1"/>
  </si>
  <si>
    <t>End row Doxy</t>
    <phoneticPr fontId="1"/>
  </si>
  <si>
    <t>Start col Doxy</t>
    <phoneticPr fontId="1"/>
  </si>
  <si>
    <t>End col Doxy</t>
    <phoneticPr fontId="1"/>
  </si>
  <si>
    <t>Start row header_html</t>
  </si>
  <si>
    <t>End row header_html</t>
  </si>
  <si>
    <t>Start col header_html</t>
  </si>
  <si>
    <t>End col header_html</t>
  </si>
  <si>
    <t>Start row custom_js</t>
  </si>
  <si>
    <t>End row custom_js</t>
  </si>
  <si>
    <t>Start col custom_js</t>
  </si>
  <si>
    <t>End col custom_js</t>
  </si>
  <si>
    <t>End col layout_xml</t>
  </si>
  <si>
    <t>Start row layout_xml</t>
  </si>
  <si>
    <t>End row layout_xml</t>
  </si>
  <si>
    <t>Start col layout_xml</t>
    <phoneticPr fontId="1"/>
  </si>
  <si>
    <t>HeaderSettingParam</t>
    <phoneticPr fontId="2"/>
  </si>
  <si>
    <t>LayoutSettingParam</t>
    <phoneticPr fontId="2"/>
  </si>
  <si>
    <t>CustomScriptSettingParam</t>
    <phoneticPr fontId="2"/>
  </si>
  <si>
    <t>File</t>
    <phoneticPr fontId="1"/>
  </si>
  <si>
    <t>Doxyfile</t>
    <phoneticPr fontId="1"/>
  </si>
  <si>
    <t>Doxyfile</t>
    <phoneticPr fontId="2"/>
  </si>
  <si>
    <r>
      <rPr>
        <sz val="11"/>
        <rFont val="Yu Gothic"/>
        <family val="3"/>
        <charset val="128"/>
      </rPr>
      <t>〇</t>
    </r>
    <r>
      <rPr>
        <sz val="11"/>
        <rFont val="Verdana"/>
        <family val="2"/>
      </rPr>
      <t xml:space="preserve"> Contents</t>
    </r>
    <phoneticPr fontId="1"/>
  </si>
  <si>
    <t>Start row open_batch</t>
  </si>
  <si>
    <t>End row open_batch</t>
  </si>
  <si>
    <t>Start col open_batch</t>
  </si>
  <si>
    <t>End col open_batch</t>
  </si>
  <si>
    <t>Start row remove_batch</t>
  </si>
  <si>
    <t>End row remove_batch</t>
  </si>
  <si>
    <t>Start col remove_batch</t>
  </si>
  <si>
    <t>End col remove_batch</t>
  </si>
  <si>
    <t>OpenBatch</t>
    <phoneticPr fontId="2"/>
  </si>
  <si>
    <t>RemoveBatch</t>
    <phoneticPr fontId="2"/>
  </si>
  <si>
    <t>Layoutfiles MD faile URL</t>
    <phoneticPr fontId="2"/>
  </si>
  <si>
    <t>md_doc_2</t>
    <phoneticPr fontId="1"/>
  </si>
  <si>
    <t>_2_s_e_t_u_p.html</t>
    <phoneticPr fontId="1"/>
  </si>
  <si>
    <t>_2setup_2cpp.html</t>
    <phoneticPr fontId="1"/>
  </si>
  <si>
    <t>_2setup_2py.html</t>
    <phoneticPr fontId="1"/>
  </si>
  <si>
    <t>_2setup_2cs.html</t>
    <phoneticPr fontId="1"/>
  </si>
  <si>
    <t>_2setup_2java.html</t>
    <phoneticPr fontId="1"/>
  </si>
  <si>
    <t>_2setup_2js.html</t>
    <phoneticPr fontId="1"/>
  </si>
  <si>
    <t>_2_h_o_w_t_o.html</t>
    <phoneticPr fontId="1"/>
  </si>
  <si>
    <t>_2howto_2cpp.html</t>
    <phoneticPr fontId="1"/>
  </si>
  <si>
    <t>_2howto_2py.html</t>
    <phoneticPr fontId="1"/>
  </si>
  <si>
    <t>_2howto_2cs.html</t>
    <phoneticPr fontId="1"/>
  </si>
  <si>
    <t>_2howto_2java.html</t>
    <phoneticPr fontId="1"/>
  </si>
  <si>
    <t>_2howto_2js.html</t>
    <phoneticPr fontId="1"/>
  </si>
  <si>
    <t>_2_l_i_c_e_n_s_e.html</t>
    <phoneticPr fontId="1"/>
  </si>
  <si>
    <t>URL Setup</t>
  </si>
  <si>
    <t>URL Setup</t>
    <phoneticPr fontId="1"/>
  </si>
  <si>
    <t>URL Setup C++</t>
  </si>
  <si>
    <t>URL Setup C++</t>
    <phoneticPr fontId="1"/>
  </si>
  <si>
    <t>URL Setup Python</t>
  </si>
  <si>
    <t>URL Setup Python</t>
    <phoneticPr fontId="1"/>
  </si>
  <si>
    <t>URL Setup C#</t>
  </si>
  <si>
    <t>URL Setup C#</t>
    <phoneticPr fontId="1"/>
  </si>
  <si>
    <t>URL Setup Java</t>
  </si>
  <si>
    <t>URL Setup Java</t>
    <phoneticPr fontId="1"/>
  </si>
  <si>
    <t>URL Setup Java Script</t>
  </si>
  <si>
    <t>URL Setup Java Script</t>
    <phoneticPr fontId="1"/>
  </si>
  <si>
    <t>URL How to</t>
  </si>
  <si>
    <t>URL How to</t>
    <phoneticPr fontId="1"/>
  </si>
  <si>
    <t>URL How to C++</t>
  </si>
  <si>
    <t>URL How to C++</t>
    <phoneticPr fontId="1"/>
  </si>
  <si>
    <t>URL How to Python</t>
  </si>
  <si>
    <t>URL How to Python</t>
    <phoneticPr fontId="1"/>
  </si>
  <si>
    <t>URL How to C#</t>
  </si>
  <si>
    <t>URL How to C#</t>
    <phoneticPr fontId="1"/>
  </si>
  <si>
    <t>URL How to Java</t>
  </si>
  <si>
    <t>URL How to Java</t>
    <phoneticPr fontId="1"/>
  </si>
  <si>
    <t>URL How to Java Script</t>
  </si>
  <si>
    <t>URL How to Java Script</t>
    <phoneticPr fontId="1"/>
  </si>
  <si>
    <t>URL License</t>
  </si>
  <si>
    <t>URL License</t>
    <phoneticPr fontId="1"/>
  </si>
  <si>
    <t>Layoutfiles Title</t>
    <phoneticPr fontId="2"/>
  </si>
  <si>
    <t>環境設定</t>
    <rPh sb="0" eb="4">
      <t>カンキョウセッテイ</t>
    </rPh>
    <phoneticPr fontId="1"/>
  </si>
  <si>
    <t>C++</t>
    <phoneticPr fontId="1"/>
  </si>
  <si>
    <t>Python</t>
    <phoneticPr fontId="1"/>
  </si>
  <si>
    <t>C#</t>
    <phoneticPr fontId="1"/>
  </si>
  <si>
    <t>Java</t>
    <phoneticPr fontId="1"/>
  </si>
  <si>
    <t>JavaScript</t>
    <phoneticPr fontId="1"/>
  </si>
  <si>
    <t>Setup</t>
    <phoneticPr fontId="1"/>
  </si>
  <si>
    <t>使い方</t>
    <rPh sb="0" eb="1">
      <t>ツカ</t>
    </rPh>
    <rPh sb="2" eb="3">
      <t>カタ</t>
    </rPh>
    <phoneticPr fontId="1"/>
  </si>
  <si>
    <t>How to use</t>
    <phoneticPr fontId="1"/>
  </si>
  <si>
    <t>License</t>
    <phoneticPr fontId="1"/>
  </si>
  <si>
    <t>知的財産</t>
    <rPh sb="0" eb="4">
      <t>チテキザイサン</t>
    </rPh>
    <phoneticPr fontId="1"/>
  </si>
  <si>
    <t>TITLE Setup</t>
  </si>
  <si>
    <t>TITLE Setup</t>
    <phoneticPr fontId="1"/>
  </si>
  <si>
    <t>TITLE Setup C++</t>
  </si>
  <si>
    <t>TITLE Setup C++</t>
    <phoneticPr fontId="1"/>
  </si>
  <si>
    <t>TITLE Setup Python</t>
  </si>
  <si>
    <t>TITLE Setup Python</t>
    <phoneticPr fontId="1"/>
  </si>
  <si>
    <t>TITLE Setup C#</t>
  </si>
  <si>
    <t>TITLE Setup C#</t>
    <phoneticPr fontId="1"/>
  </si>
  <si>
    <t>TITLE Setup Java</t>
  </si>
  <si>
    <t>TITLE Setup Java</t>
    <phoneticPr fontId="1"/>
  </si>
  <si>
    <t>TITLE Setup Java Script</t>
  </si>
  <si>
    <t>TITLE How to</t>
  </si>
  <si>
    <t>TITLE How to C++</t>
  </si>
  <si>
    <t>TITLE How to Python</t>
  </si>
  <si>
    <t>TITLE How to C#</t>
  </si>
  <si>
    <t>TITLE How to Java</t>
  </si>
  <si>
    <t>TITLE How to Java Script</t>
  </si>
  <si>
    <t>TITLE License</t>
  </si>
  <si>
    <t>Param5</t>
  </si>
  <si>
    <t>Param6</t>
  </si>
  <si>
    <t>Param7</t>
  </si>
  <si>
    <t>Param8</t>
  </si>
  <si>
    <t>Param9</t>
  </si>
  <si>
    <t>Param10</t>
  </si>
  <si>
    <t>Param11</t>
  </si>
  <si>
    <t>Param12</t>
  </si>
  <si>
    <t>Param13</t>
  </si>
  <si>
    <t>Param14</t>
  </si>
  <si>
    <t>Param15</t>
  </si>
  <si>
    <t>Param16</t>
  </si>
  <si>
    <t>Param17</t>
  </si>
  <si>
    <t>Param18</t>
  </si>
  <si>
    <t>Param19</t>
  </si>
  <si>
    <t>Param20</t>
  </si>
  <si>
    <t>Param21</t>
  </si>
  <si>
    <t>Param22</t>
  </si>
  <si>
    <t>Param23</t>
  </si>
  <si>
    <t>Param24</t>
  </si>
  <si>
    <t>Param25</t>
  </si>
  <si>
    <t>Param26</t>
  </si>
  <si>
    <t>Open Name</t>
  </si>
  <si>
    <t>Open Name</t>
    <phoneticPr fontId="1"/>
  </si>
  <si>
    <t>doxy/layout_</t>
  </si>
  <si>
    <t>.xml</t>
  </si>
  <si>
    <t>LAYOUT_FILE</t>
  </si>
  <si>
    <t xml:space="preserve">INPUT </t>
  </si>
  <si>
    <t xml:space="preserve">INPUT </t>
    <phoneticPr fontId="1"/>
  </si>
  <si>
    <t>Param6</t>
    <phoneticPr fontId="1"/>
  </si>
  <si>
    <t>api core platform resource "doc/</t>
    <phoneticPr fontId="1"/>
  </si>
  <si>
    <t>"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</si>
</sst>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1"/>
      <color theme="1"/>
      <name val="Yu Gothic"/>
      <family val="3"/>
      <charset val="128"/>
    </font>
    <font>
      <sz val="11"/>
      <color theme="1"/>
      <name val="Yu Gothic"/>
      <family val="2"/>
    </font>
    <font>
      <sz val="11"/>
      <name val="Verdana"/>
      <family val="2"/>
    </font>
    <font>
      <sz val="11"/>
      <name val="Yu Gothic"/>
      <family val="3"/>
      <charset val="128"/>
    </font>
    <font>
      <sz val="11"/>
      <color theme="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Continuous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vertical="center"/>
    </xf>
  </cellXfs>
  <cellStyles count="1">
    <cellStyle name="標準" xfId="0" builtinId="0"/>
  </cellStyles>
  <dxfs count="0"/>
  <tableStyles count="1" defaultTableStyle="TableStyleMedium2" defaultPivotStyle="PivotStyleLight16">
    <tableStyle name="Invisible" pivot="0" table="0" count="0" xr9:uid="{D420F615-A137-4CE4-94EE-690BE1ED6F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2"/>
  <sheetViews>
    <sheetView tabSelected="1" topLeftCell="A45" workbookViewId="0">
      <selection activeCell="I111" sqref="I111"/>
    </sheetView>
  </sheetViews>
  <sheetFormatPr defaultRowHeight="18.600000000000001" customHeight="1" outlineLevelRow="1"/>
  <cols>
    <col min="1" max="1" width="23.140625" style="3" bestFit="1" customWidth="1"/>
    <col min="2" max="2" width="29" style="3" bestFit="1" customWidth="1"/>
    <col min="3" max="3" width="27.1875" style="14" bestFit="1" customWidth="1"/>
    <col min="4" max="4" width="21" style="3" bestFit="1" customWidth="1"/>
    <col min="5" max="5" width="21.47265625" style="3" bestFit="1" customWidth="1"/>
    <col min="6" max="6" width="23.76171875" style="3" bestFit="1" customWidth="1"/>
    <col min="7" max="7" width="27.80859375" style="3" bestFit="1" customWidth="1"/>
    <col min="8" max="8" width="27.80859375" style="3" customWidth="1"/>
    <col min="9" max="9" width="36.140625" style="3" bestFit="1" customWidth="1"/>
    <col min="10" max="10" width="10.046875" style="3" bestFit="1" customWidth="1"/>
    <col min="11" max="11" width="13.140625" style="2" bestFit="1" customWidth="1"/>
    <col min="12" max="12" width="33.5234375" style="3" bestFit="1" customWidth="1"/>
    <col min="13" max="13" width="32.90234375" style="3" bestFit="1" customWidth="1"/>
    <col min="14" max="14" width="31.85546875" style="3" bestFit="1" customWidth="1"/>
    <col min="15" max="15" width="31.6171875" style="3" bestFit="1" customWidth="1"/>
    <col min="16" max="16" width="33.76171875" style="3" bestFit="1" customWidth="1"/>
    <col min="17" max="17" width="31.234375" style="3" bestFit="1" customWidth="1"/>
    <col min="18" max="18" width="34.33203125" style="3" bestFit="1" customWidth="1"/>
    <col min="19" max="19" width="23.140625" style="3" bestFit="1" customWidth="1"/>
    <col min="20" max="20" width="22.09375" style="3" bestFit="1" customWidth="1"/>
    <col min="21" max="21" width="21.85546875" style="3" bestFit="1" customWidth="1"/>
    <col min="22" max="22" width="24" style="3" bestFit="1" customWidth="1"/>
    <col min="23" max="23" width="32.1875" style="3" bestFit="1" customWidth="1"/>
    <col min="24" max="24" width="37.1875" style="3" bestFit="1" customWidth="1"/>
    <col min="25" max="25" width="33.5234375" style="3" bestFit="1" customWidth="1"/>
    <col min="26" max="26" width="32.90234375" style="3" bestFit="1" customWidth="1"/>
    <col min="27" max="27" width="31.85546875" style="3" bestFit="1" customWidth="1"/>
    <col min="28" max="28" width="31.6171875" style="3" bestFit="1" customWidth="1"/>
    <col min="29" max="29" width="33.76171875" style="3" bestFit="1" customWidth="1"/>
    <col min="30" max="30" width="31.234375" style="3" bestFit="1" customWidth="1"/>
    <col min="31" max="31" width="34.33203125" style="3" bestFit="1" customWidth="1"/>
    <col min="32" max="32" width="23.140625" style="3" bestFit="1" customWidth="1"/>
    <col min="33" max="33" width="22.09375" style="3" bestFit="1" customWidth="1"/>
    <col min="34" max="34" width="21.85546875" style="3" bestFit="1" customWidth="1"/>
    <col min="35" max="35" width="24" style="3" bestFit="1" customWidth="1"/>
    <col min="36" max="36" width="32.1875" style="3" bestFit="1" customWidth="1"/>
    <col min="37" max="37" width="37.1875" style="3" bestFit="1" customWidth="1"/>
    <col min="38" max="16384" width="8.76171875" style="3"/>
  </cols>
  <sheetData>
    <row r="1" spans="1:4" ht="18.600000000000001" customHeight="1">
      <c r="A1" s="1" t="s">
        <v>14</v>
      </c>
      <c r="B1" s="1"/>
      <c r="C1" s="17"/>
    </row>
    <row r="2" spans="1:4" ht="18.600000000000001" customHeight="1">
      <c r="A2" s="4" t="s">
        <v>52</v>
      </c>
      <c r="B2" s="5">
        <v>1</v>
      </c>
      <c r="C2" s="17"/>
      <c r="D2" s="3">
        <v>0</v>
      </c>
    </row>
    <row r="3" spans="1:4" ht="18.600000000000001" customHeight="1">
      <c r="A3" s="4" t="s">
        <v>53</v>
      </c>
      <c r="B3" s="5">
        <f>COUNTA(A2:A38)</f>
        <v>37</v>
      </c>
      <c r="C3" s="17"/>
      <c r="D3" s="3">
        <v>1</v>
      </c>
    </row>
    <row r="4" spans="1:4" ht="18.600000000000001" customHeight="1">
      <c r="A4" s="4" t="s">
        <v>54</v>
      </c>
      <c r="B4" s="5">
        <f>1</f>
        <v>1</v>
      </c>
      <c r="C4" s="17"/>
      <c r="D4" s="3">
        <v>2</v>
      </c>
    </row>
    <row r="5" spans="1:4" ht="18.600000000000001" customHeight="1">
      <c r="A5" s="4" t="s">
        <v>55</v>
      </c>
      <c r="B5" s="5">
        <v>1</v>
      </c>
      <c r="C5" s="17"/>
      <c r="D5" s="3">
        <v>3</v>
      </c>
    </row>
    <row r="6" spans="1:4" ht="18.600000000000001" customHeight="1">
      <c r="A6" s="4" t="s">
        <v>56</v>
      </c>
      <c r="B6" s="5">
        <f>MATCH( C6, $A$1:$A$1253, FALSE ) + 1</f>
        <v>41</v>
      </c>
      <c r="C6" s="17" t="str">
        <f>A40</f>
        <v>DoxySettingParam</v>
      </c>
      <c r="D6" s="3">
        <v>4</v>
      </c>
    </row>
    <row r="7" spans="1:4" ht="18.600000000000001" customHeight="1">
      <c r="A7" s="4" t="s">
        <v>57</v>
      </c>
      <c r="B7" s="5">
        <f>MATCH( C10, $A$1:$A$1253, FALSE ) - 3</f>
        <v>47</v>
      </c>
      <c r="C7" s="17"/>
      <c r="D7" s="3">
        <v>5</v>
      </c>
    </row>
    <row r="8" spans="1:4" ht="18.600000000000001" customHeight="1">
      <c r="A8" s="4" t="s">
        <v>58</v>
      </c>
      <c r="B8" s="5">
        <v>1</v>
      </c>
      <c r="C8" s="17"/>
      <c r="D8" s="3">
        <v>6</v>
      </c>
    </row>
    <row r="9" spans="1:4" ht="18.600000000000001" customHeight="1">
      <c r="A9" s="4" t="s">
        <v>59</v>
      </c>
      <c r="B9" s="5">
        <v>2</v>
      </c>
      <c r="C9" s="17"/>
      <c r="D9" s="3">
        <v>7</v>
      </c>
    </row>
    <row r="10" spans="1:4" ht="18.600000000000001" customHeight="1">
      <c r="A10" s="4" t="s">
        <v>69</v>
      </c>
      <c r="B10" s="5">
        <f>MATCH( C10, $A$1:$A$1253, FALSE ) + 1</f>
        <v>51</v>
      </c>
      <c r="C10" s="17" t="str">
        <f>A50</f>
        <v>LayoutSettingParam</v>
      </c>
      <c r="D10" s="3">
        <v>8</v>
      </c>
    </row>
    <row r="11" spans="1:4" ht="18.600000000000001" customHeight="1">
      <c r="A11" s="4" t="s">
        <v>70</v>
      </c>
      <c r="B11" s="5">
        <f>MATCH( C14, $A$1:$A$1253, FALSE ) - 3</f>
        <v>76</v>
      </c>
      <c r="C11" s="17"/>
      <c r="D11" s="3">
        <v>9</v>
      </c>
    </row>
    <row r="12" spans="1:4" ht="18.600000000000001" customHeight="1">
      <c r="A12" s="4" t="s">
        <v>71</v>
      </c>
      <c r="B12" s="5">
        <v>1</v>
      </c>
      <c r="C12" s="17"/>
      <c r="D12" s="3">
        <v>10</v>
      </c>
    </row>
    <row r="13" spans="1:4" ht="18.600000000000001" customHeight="1">
      <c r="A13" s="4" t="s">
        <v>68</v>
      </c>
      <c r="B13" s="5">
        <v>2</v>
      </c>
      <c r="C13" s="17"/>
      <c r="D13" s="3">
        <v>11</v>
      </c>
    </row>
    <row r="14" spans="1:4" ht="18.600000000000001" customHeight="1">
      <c r="A14" s="4" t="s">
        <v>60</v>
      </c>
      <c r="B14" s="5">
        <f>MATCH( C14, $A$1:$A$1253, FALSE ) + 1</f>
        <v>80</v>
      </c>
      <c r="C14" s="17" t="str">
        <f>A79</f>
        <v>HeaderSettingParam</v>
      </c>
      <c r="D14" s="3">
        <v>12</v>
      </c>
    </row>
    <row r="15" spans="1:4" ht="18.600000000000001" customHeight="1">
      <c r="A15" s="4" t="s">
        <v>61</v>
      </c>
      <c r="B15" s="5">
        <f>MATCH( C18, $A$1:$A$1253, FALSE ) - 3</f>
        <v>83</v>
      </c>
      <c r="C15" s="17"/>
      <c r="D15" s="3">
        <v>13</v>
      </c>
    </row>
    <row r="16" spans="1:4" ht="18.600000000000001" customHeight="1">
      <c r="A16" s="4" t="s">
        <v>62</v>
      </c>
      <c r="B16" s="5">
        <v>1</v>
      </c>
      <c r="C16" s="17"/>
      <c r="D16" s="3">
        <v>14</v>
      </c>
    </row>
    <row r="17" spans="1:4" ht="18.600000000000001" customHeight="1">
      <c r="A17" s="4" t="s">
        <v>63</v>
      </c>
      <c r="B17" s="5">
        <v>2</v>
      </c>
      <c r="C17" s="17"/>
      <c r="D17" s="3">
        <v>15</v>
      </c>
    </row>
    <row r="18" spans="1:4" ht="18.600000000000001" customHeight="1">
      <c r="A18" s="4" t="s">
        <v>64</v>
      </c>
      <c r="B18" s="5">
        <f>MATCH( C18, $A$1:$A$1253, FALSE ) + 1</f>
        <v>87</v>
      </c>
      <c r="C18" s="17" t="str">
        <f>A86</f>
        <v>CustomScriptSettingParam</v>
      </c>
      <c r="D18" s="3">
        <v>16</v>
      </c>
    </row>
    <row r="19" spans="1:4" ht="18.600000000000001" customHeight="1">
      <c r="A19" s="4" t="s">
        <v>65</v>
      </c>
      <c r="B19" s="5">
        <f>MATCH( C22, $A$1:$A$1253, FALSE ) - 3</f>
        <v>90</v>
      </c>
      <c r="C19" s="17"/>
      <c r="D19" s="3">
        <v>17</v>
      </c>
    </row>
    <row r="20" spans="1:4" ht="18.600000000000001" customHeight="1">
      <c r="A20" s="4" t="s">
        <v>66</v>
      </c>
      <c r="B20" s="5">
        <v>1</v>
      </c>
      <c r="C20" s="17"/>
      <c r="D20" s="3">
        <v>18</v>
      </c>
    </row>
    <row r="21" spans="1:4" ht="18.600000000000001" customHeight="1">
      <c r="A21" s="4" t="s">
        <v>67</v>
      </c>
      <c r="B21" s="5">
        <v>2</v>
      </c>
      <c r="C21" s="17"/>
      <c r="D21" s="3">
        <v>19</v>
      </c>
    </row>
    <row r="22" spans="1:4" ht="18.600000000000001" customHeight="1">
      <c r="A22" s="4" t="s">
        <v>79</v>
      </c>
      <c r="B22" s="5">
        <f>MATCH( C22, $A$1:$A$1253, FALSE ) + 1</f>
        <v>94</v>
      </c>
      <c r="C22" s="17" t="str">
        <f>A93</f>
        <v>OpenBatch</v>
      </c>
      <c r="D22" s="3">
        <v>20</v>
      </c>
    </row>
    <row r="23" spans="1:4" ht="18.600000000000001" customHeight="1">
      <c r="A23" s="4" t="s">
        <v>80</v>
      </c>
      <c r="B23" s="5">
        <f>MATCH( C26, $A$1:$A$1253, FALSE ) - 3</f>
        <v>95</v>
      </c>
      <c r="C23" s="17"/>
      <c r="D23" s="3">
        <v>21</v>
      </c>
    </row>
    <row r="24" spans="1:4" ht="18.600000000000001" customHeight="1">
      <c r="A24" s="4" t="s">
        <v>81</v>
      </c>
      <c r="B24" s="5">
        <v>1</v>
      </c>
      <c r="C24" s="17"/>
      <c r="D24" s="3">
        <v>22</v>
      </c>
    </row>
    <row r="25" spans="1:4" ht="18.600000000000001" customHeight="1">
      <c r="A25" s="4" t="s">
        <v>82</v>
      </c>
      <c r="B25" s="5">
        <v>2</v>
      </c>
      <c r="C25" s="17"/>
      <c r="D25" s="3">
        <v>23</v>
      </c>
    </row>
    <row r="26" spans="1:4" ht="18.600000000000001" customHeight="1">
      <c r="A26" s="4" t="s">
        <v>83</v>
      </c>
      <c r="B26" s="5">
        <f>MATCH( C26, $A$1:$A$1253, FALSE ) + 1</f>
        <v>99</v>
      </c>
      <c r="C26" s="17" t="str">
        <f>A98</f>
        <v>RemoveBatch</v>
      </c>
      <c r="D26" s="3">
        <v>24</v>
      </c>
    </row>
    <row r="27" spans="1:4" ht="18.600000000000001" customHeight="1">
      <c r="A27" s="4" t="s">
        <v>84</v>
      </c>
      <c r="B27" s="5">
        <f>MATCH( C30, $A$1:$A$1253, FALSE ) - 3</f>
        <v>102</v>
      </c>
      <c r="C27" s="17"/>
      <c r="D27" s="3">
        <v>25</v>
      </c>
    </row>
    <row r="28" spans="1:4" ht="18.600000000000001" customHeight="1">
      <c r="A28" s="4" t="s">
        <v>85</v>
      </c>
      <c r="B28" s="5">
        <v>1</v>
      </c>
      <c r="C28" s="17"/>
      <c r="D28" s="3">
        <v>26</v>
      </c>
    </row>
    <row r="29" spans="1:4" ht="18.600000000000001" customHeight="1">
      <c r="A29" s="4" t="s">
        <v>86</v>
      </c>
      <c r="B29" s="5">
        <v>2</v>
      </c>
      <c r="C29" s="17"/>
      <c r="D29" s="3">
        <v>27</v>
      </c>
    </row>
    <row r="30" spans="1:4" ht="18.600000000000001" customHeight="1">
      <c r="A30" s="4" t="s">
        <v>15</v>
      </c>
      <c r="B30" s="5">
        <f>MATCH( A108, $A$1:$A$1253, FALSE ) - 1</f>
        <v>107</v>
      </c>
      <c r="C30" s="17" t="s">
        <v>78</v>
      </c>
      <c r="D30" s="3">
        <v>28</v>
      </c>
    </row>
    <row r="31" spans="1:4" ht="18.600000000000001" customHeight="1">
      <c r="A31" s="4" t="s">
        <v>16</v>
      </c>
      <c r="B31" s="5">
        <f ca="1">COUNTA(OFFSET( A1, B30, 0, 500, 1 ) ) + B30 - 1</f>
        <v>108</v>
      </c>
      <c r="C31" s="17"/>
      <c r="D31" s="3">
        <v>29</v>
      </c>
    </row>
    <row r="32" spans="1:4" ht="18.600000000000001" customHeight="1">
      <c r="A32" s="4" t="s">
        <v>17</v>
      </c>
      <c r="B32" s="5">
        <f ca="1">MATCH( $C$107, OFFSET( $A$1, B30 - 1, 1, 1, 1000 ), 0 )</f>
        <v>2</v>
      </c>
      <c r="C32" s="17"/>
      <c r="D32" s="3">
        <v>30</v>
      </c>
    </row>
    <row r="33" spans="1:4" ht="18.600000000000001" customHeight="1">
      <c r="A33" s="4" t="s">
        <v>18</v>
      </c>
      <c r="B33" s="5">
        <f ca="1">COUNTA(OFFSET( A1, B30, 0, 1,1000 ) ) - 1</f>
        <v>36</v>
      </c>
      <c r="C33" s="17"/>
      <c r="D33" s="3">
        <v>31</v>
      </c>
    </row>
    <row r="34" spans="1:4" ht="18.600000000000001" customHeight="1">
      <c r="A34" s="4" t="s">
        <v>19</v>
      </c>
      <c r="B34" s="5" t="s">
        <v>20</v>
      </c>
      <c r="C34" s="17"/>
      <c r="D34" s="3">
        <v>32</v>
      </c>
    </row>
    <row r="35" spans="1:4" ht="18.600000000000001" customHeight="1">
      <c r="A35" s="4" t="s">
        <v>21</v>
      </c>
      <c r="B35" s="5" t="s">
        <v>22</v>
      </c>
      <c r="C35" s="17"/>
      <c r="D35" s="3">
        <v>33</v>
      </c>
    </row>
    <row r="36" spans="1:4" ht="18.600000000000001" customHeight="1">
      <c r="A36" s="4" t="s">
        <v>23</v>
      </c>
      <c r="B36" s="5" t="s">
        <v>24</v>
      </c>
      <c r="C36" s="17"/>
      <c r="D36" s="3">
        <v>34</v>
      </c>
    </row>
    <row r="37" spans="1:4" ht="18.600000000000001" customHeight="1">
      <c r="A37" s="4" t="s">
        <v>25</v>
      </c>
      <c r="B37" s="5" t="s">
        <v>26</v>
      </c>
      <c r="C37" s="17"/>
      <c r="D37" s="3">
        <v>35</v>
      </c>
    </row>
    <row r="38" spans="1:4" ht="18.600000000000001" customHeight="1">
      <c r="A38" s="4" t="s">
        <v>27</v>
      </c>
      <c r="B38" s="5" t="s">
        <v>28</v>
      </c>
      <c r="C38" s="17"/>
      <c r="D38" s="3">
        <v>36</v>
      </c>
    </row>
    <row r="39" spans="1:4" ht="18.600000000000001" customHeight="1">
      <c r="B39" s="6"/>
    </row>
    <row r="40" spans="1:4" ht="18.600000000000001" customHeight="1">
      <c r="A40" s="11" t="s">
        <v>29</v>
      </c>
      <c r="B40" s="6"/>
    </row>
    <row r="41" spans="1:4" ht="18.600000000000001" customHeight="1" outlineLevel="1">
      <c r="A41" s="7"/>
      <c r="B41" s="8" t="s">
        <v>45</v>
      </c>
      <c r="C41" s="15" t="s">
        <v>30</v>
      </c>
    </row>
    <row r="42" spans="1:4" ht="18.600000000000001" customHeight="1" outlineLevel="1">
      <c r="A42" s="7" t="s">
        <v>75</v>
      </c>
      <c r="B42" s="9" t="s">
        <v>77</v>
      </c>
      <c r="C42" s="16">
        <f t="shared" ref="C42:C48" si="0">MATCH( B42, $C$107:$XFD$107, FALSE ) - 1</f>
        <v>7</v>
      </c>
    </row>
    <row r="43" spans="1:4" ht="18.600000000000001" customHeight="1" outlineLevel="1">
      <c r="A43" s="7" t="s">
        <v>31</v>
      </c>
      <c r="B43" s="9" t="s">
        <v>32</v>
      </c>
      <c r="C43" s="16">
        <f t="shared" si="0"/>
        <v>1</v>
      </c>
    </row>
    <row r="44" spans="1:4" ht="18.600000000000001" customHeight="1" outlineLevel="1">
      <c r="A44" s="7" t="s">
        <v>33</v>
      </c>
      <c r="B44" s="9" t="s">
        <v>34</v>
      </c>
      <c r="C44" s="16">
        <f t="shared" si="0"/>
        <v>2</v>
      </c>
    </row>
    <row r="45" spans="1:4" ht="18.600000000000001" customHeight="1" outlineLevel="1">
      <c r="A45" s="7" t="s">
        <v>35</v>
      </c>
      <c r="B45" s="9" t="s">
        <v>36</v>
      </c>
      <c r="C45" s="16">
        <f t="shared" si="0"/>
        <v>3</v>
      </c>
    </row>
    <row r="46" spans="1:4" ht="18.600000000000001" customHeight="1" outlineLevel="1">
      <c r="A46" s="7" t="s">
        <v>37</v>
      </c>
      <c r="B46" s="9" t="s">
        <v>38</v>
      </c>
      <c r="C46" s="16">
        <f t="shared" si="0"/>
        <v>4</v>
      </c>
    </row>
    <row r="47" spans="1:4" ht="18.600000000000001" customHeight="1" outlineLevel="1">
      <c r="A47" s="7" t="s">
        <v>160</v>
      </c>
      <c r="B47" s="9" t="s">
        <v>186</v>
      </c>
      <c r="C47" s="16">
        <f t="shared" si="0"/>
        <v>5</v>
      </c>
    </row>
    <row r="48" spans="1:4" ht="18.600000000000001" customHeight="1" outlineLevel="1">
      <c r="A48" s="7" t="s">
        <v>189</v>
      </c>
      <c r="B48" s="9" t="s">
        <v>187</v>
      </c>
      <c r="C48" s="16">
        <f t="shared" si="0"/>
        <v>6</v>
      </c>
    </row>
    <row r="50" spans="1:5" ht="18.600000000000001" customHeight="1">
      <c r="A50" s="11" t="s">
        <v>73</v>
      </c>
      <c r="B50" s="6"/>
    </row>
    <row r="51" spans="1:5" ht="18.600000000000001" hidden="1" customHeight="1" outlineLevel="1">
      <c r="A51" s="7"/>
      <c r="B51" s="8" t="s">
        <v>45</v>
      </c>
      <c r="C51" s="15" t="s">
        <v>30</v>
      </c>
    </row>
    <row r="52" spans="1:5" ht="18.600000000000001" hidden="1" customHeight="1" outlineLevel="1">
      <c r="A52" s="7" t="s">
        <v>31</v>
      </c>
      <c r="B52" s="9" t="s">
        <v>104</v>
      </c>
      <c r="C52" s="16">
        <f t="shared" ref="C52:C77" si="1">MATCH( B52, $C$107:$XFD$107, FALSE ) - 1</f>
        <v>9</v>
      </c>
      <c r="D52" s="3">
        <v>0</v>
      </c>
    </row>
    <row r="53" spans="1:5" ht="18.600000000000001" hidden="1" customHeight="1" outlineLevel="1">
      <c r="A53" s="7" t="s">
        <v>33</v>
      </c>
      <c r="B53" s="9" t="s">
        <v>106</v>
      </c>
      <c r="C53" s="16">
        <f t="shared" si="1"/>
        <v>10</v>
      </c>
      <c r="D53" s="3">
        <v>1</v>
      </c>
    </row>
    <row r="54" spans="1:5" ht="18.600000000000001" hidden="1" customHeight="1" outlineLevel="1">
      <c r="A54" s="7" t="s">
        <v>35</v>
      </c>
      <c r="B54" s="9" t="s">
        <v>108</v>
      </c>
      <c r="C54" s="16">
        <f t="shared" si="1"/>
        <v>11</v>
      </c>
      <c r="D54" s="3">
        <v>2</v>
      </c>
    </row>
    <row r="55" spans="1:5" ht="18.600000000000001" hidden="1" customHeight="1" outlineLevel="1">
      <c r="A55" s="7" t="s">
        <v>37</v>
      </c>
      <c r="B55" s="9" t="s">
        <v>110</v>
      </c>
      <c r="C55" s="16">
        <f t="shared" si="1"/>
        <v>12</v>
      </c>
      <c r="D55" s="3">
        <v>3</v>
      </c>
    </row>
    <row r="56" spans="1:5" ht="18.600000000000001" hidden="1" customHeight="1" outlineLevel="1">
      <c r="A56" s="7" t="s">
        <v>160</v>
      </c>
      <c r="B56" s="9" t="s">
        <v>112</v>
      </c>
      <c r="C56" s="16">
        <f t="shared" si="1"/>
        <v>13</v>
      </c>
      <c r="D56" s="3">
        <v>4</v>
      </c>
    </row>
    <row r="57" spans="1:5" ht="18.600000000000001" hidden="1" customHeight="1" outlineLevel="1">
      <c r="A57" s="7" t="s">
        <v>161</v>
      </c>
      <c r="B57" s="9" t="s">
        <v>114</v>
      </c>
      <c r="C57" s="16">
        <f t="shared" si="1"/>
        <v>14</v>
      </c>
      <c r="D57" s="3">
        <v>5</v>
      </c>
      <c r="E57" s="2"/>
    </row>
    <row r="58" spans="1:5" ht="18.600000000000001" hidden="1" customHeight="1" outlineLevel="1">
      <c r="A58" s="7" t="s">
        <v>162</v>
      </c>
      <c r="B58" s="9" t="s">
        <v>116</v>
      </c>
      <c r="C58" s="16">
        <f t="shared" si="1"/>
        <v>15</v>
      </c>
      <c r="D58" s="3">
        <v>6</v>
      </c>
    </row>
    <row r="59" spans="1:5" ht="18.600000000000001" hidden="1" customHeight="1" outlineLevel="1">
      <c r="A59" s="7" t="s">
        <v>163</v>
      </c>
      <c r="B59" s="9" t="s">
        <v>118</v>
      </c>
      <c r="C59" s="16">
        <f t="shared" si="1"/>
        <v>16</v>
      </c>
      <c r="D59" s="3">
        <v>7</v>
      </c>
    </row>
    <row r="60" spans="1:5" ht="18.600000000000001" hidden="1" customHeight="1" outlineLevel="1">
      <c r="A60" s="7" t="s">
        <v>164</v>
      </c>
      <c r="B60" s="9" t="s">
        <v>120</v>
      </c>
      <c r="C60" s="16">
        <f t="shared" si="1"/>
        <v>17</v>
      </c>
      <c r="D60" s="3">
        <v>8</v>
      </c>
    </row>
    <row r="61" spans="1:5" ht="18.600000000000001" hidden="1" customHeight="1" outlineLevel="1">
      <c r="A61" s="7" t="s">
        <v>165</v>
      </c>
      <c r="B61" s="9" t="s">
        <v>122</v>
      </c>
      <c r="C61" s="16">
        <f t="shared" si="1"/>
        <v>18</v>
      </c>
      <c r="D61" s="3">
        <v>9</v>
      </c>
    </row>
    <row r="62" spans="1:5" ht="18.600000000000001" hidden="1" customHeight="1" outlineLevel="1">
      <c r="A62" s="7" t="s">
        <v>166</v>
      </c>
      <c r="B62" s="9" t="s">
        <v>124</v>
      </c>
      <c r="C62" s="16">
        <f t="shared" si="1"/>
        <v>19</v>
      </c>
      <c r="D62" s="3">
        <v>10</v>
      </c>
    </row>
    <row r="63" spans="1:5" ht="18.600000000000001" hidden="1" customHeight="1" outlineLevel="1">
      <c r="A63" s="7" t="s">
        <v>167</v>
      </c>
      <c r="B63" s="9" t="s">
        <v>126</v>
      </c>
      <c r="C63" s="16">
        <f t="shared" si="1"/>
        <v>20</v>
      </c>
      <c r="D63" s="3">
        <v>11</v>
      </c>
    </row>
    <row r="64" spans="1:5" ht="18.600000000000001" hidden="1" customHeight="1" outlineLevel="1">
      <c r="A64" s="7" t="s">
        <v>168</v>
      </c>
      <c r="B64" s="9" t="s">
        <v>128</v>
      </c>
      <c r="C64" s="16">
        <f t="shared" si="1"/>
        <v>21</v>
      </c>
      <c r="D64" s="3">
        <v>12</v>
      </c>
    </row>
    <row r="65" spans="1:4" ht="18.600000000000001" hidden="1" customHeight="1" outlineLevel="1">
      <c r="A65" s="7" t="s">
        <v>169</v>
      </c>
      <c r="B65" s="9" t="s">
        <v>142</v>
      </c>
      <c r="C65" s="16">
        <f t="shared" si="1"/>
        <v>22</v>
      </c>
      <c r="D65" s="3">
        <v>13</v>
      </c>
    </row>
    <row r="66" spans="1:4" ht="18.600000000000001" hidden="1" customHeight="1" outlineLevel="1">
      <c r="A66" s="7" t="s">
        <v>170</v>
      </c>
      <c r="B66" s="9" t="s">
        <v>144</v>
      </c>
      <c r="C66" s="16">
        <f t="shared" si="1"/>
        <v>23</v>
      </c>
      <c r="D66" s="3">
        <v>14</v>
      </c>
    </row>
    <row r="67" spans="1:4" ht="18.600000000000001" hidden="1" customHeight="1" outlineLevel="1">
      <c r="A67" s="7" t="s">
        <v>171</v>
      </c>
      <c r="B67" s="9" t="s">
        <v>146</v>
      </c>
      <c r="C67" s="16">
        <f t="shared" si="1"/>
        <v>24</v>
      </c>
      <c r="D67" s="3">
        <v>15</v>
      </c>
    </row>
    <row r="68" spans="1:4" ht="18.600000000000001" hidden="1" customHeight="1" outlineLevel="1">
      <c r="A68" s="7" t="s">
        <v>172</v>
      </c>
      <c r="B68" s="9" t="s">
        <v>148</v>
      </c>
      <c r="C68" s="16">
        <f t="shared" si="1"/>
        <v>25</v>
      </c>
      <c r="D68" s="3">
        <v>16</v>
      </c>
    </row>
    <row r="69" spans="1:4" ht="18.600000000000001" hidden="1" customHeight="1" outlineLevel="1">
      <c r="A69" s="7" t="s">
        <v>173</v>
      </c>
      <c r="B69" s="9" t="s">
        <v>150</v>
      </c>
      <c r="C69" s="16">
        <f t="shared" si="1"/>
        <v>26</v>
      </c>
      <c r="D69" s="3">
        <v>17</v>
      </c>
    </row>
    <row r="70" spans="1:4" ht="18.600000000000001" hidden="1" customHeight="1" outlineLevel="1">
      <c r="A70" s="7" t="s">
        <v>174</v>
      </c>
      <c r="B70" s="9" t="s">
        <v>152</v>
      </c>
      <c r="C70" s="16">
        <f t="shared" si="1"/>
        <v>27</v>
      </c>
      <c r="D70" s="3">
        <v>18</v>
      </c>
    </row>
    <row r="71" spans="1:4" ht="18.600000000000001" hidden="1" customHeight="1" outlineLevel="1">
      <c r="A71" s="7" t="s">
        <v>175</v>
      </c>
      <c r="B71" s="9" t="s">
        <v>153</v>
      </c>
      <c r="C71" s="16">
        <f t="shared" si="1"/>
        <v>28</v>
      </c>
      <c r="D71" s="3">
        <v>19</v>
      </c>
    </row>
    <row r="72" spans="1:4" ht="18.600000000000001" hidden="1" customHeight="1" outlineLevel="1">
      <c r="A72" s="7" t="s">
        <v>176</v>
      </c>
      <c r="B72" s="9" t="s">
        <v>154</v>
      </c>
      <c r="C72" s="16">
        <f t="shared" si="1"/>
        <v>29</v>
      </c>
      <c r="D72" s="3">
        <v>20</v>
      </c>
    </row>
    <row r="73" spans="1:4" ht="18.600000000000001" hidden="1" customHeight="1" outlineLevel="1">
      <c r="A73" s="7" t="s">
        <v>177</v>
      </c>
      <c r="B73" s="9" t="s">
        <v>155</v>
      </c>
      <c r="C73" s="16">
        <f t="shared" si="1"/>
        <v>30</v>
      </c>
      <c r="D73" s="3">
        <v>21</v>
      </c>
    </row>
    <row r="74" spans="1:4" ht="18.600000000000001" hidden="1" customHeight="1" outlineLevel="1">
      <c r="A74" s="7" t="s">
        <v>178</v>
      </c>
      <c r="B74" s="9" t="s">
        <v>156</v>
      </c>
      <c r="C74" s="16">
        <f t="shared" si="1"/>
        <v>31</v>
      </c>
      <c r="D74" s="3">
        <v>22</v>
      </c>
    </row>
    <row r="75" spans="1:4" ht="18.600000000000001" hidden="1" customHeight="1" outlineLevel="1">
      <c r="A75" s="7" t="s">
        <v>179</v>
      </c>
      <c r="B75" s="9" t="s">
        <v>157</v>
      </c>
      <c r="C75" s="16">
        <f t="shared" si="1"/>
        <v>32</v>
      </c>
      <c r="D75" s="3">
        <v>23</v>
      </c>
    </row>
    <row r="76" spans="1:4" ht="18.600000000000001" hidden="1" customHeight="1" outlineLevel="1">
      <c r="A76" s="7" t="s">
        <v>180</v>
      </c>
      <c r="B76" s="9" t="s">
        <v>158</v>
      </c>
      <c r="C76" s="16">
        <f t="shared" si="1"/>
        <v>33</v>
      </c>
      <c r="D76" s="3">
        <v>24</v>
      </c>
    </row>
    <row r="77" spans="1:4" ht="18.600000000000001" hidden="1" customHeight="1" outlineLevel="1">
      <c r="A77" s="7" t="s">
        <v>181</v>
      </c>
      <c r="B77" s="9" t="s">
        <v>159</v>
      </c>
      <c r="C77" s="16">
        <f t="shared" si="1"/>
        <v>34</v>
      </c>
      <c r="D77" s="3">
        <v>25</v>
      </c>
    </row>
    <row r="78" spans="1:4" ht="18.600000000000001" customHeight="1" collapsed="1">
      <c r="B78" s="6"/>
    </row>
    <row r="79" spans="1:4" ht="18.600000000000001" customHeight="1">
      <c r="A79" s="11" t="s">
        <v>72</v>
      </c>
      <c r="B79" s="6"/>
    </row>
    <row r="80" spans="1:4" ht="18.600000000000001" hidden="1" customHeight="1" outlineLevel="1">
      <c r="A80" s="7"/>
      <c r="B80" s="8" t="s">
        <v>45</v>
      </c>
      <c r="C80" s="15" t="s">
        <v>30</v>
      </c>
    </row>
    <row r="81" spans="1:3" ht="18.600000000000001" hidden="1" customHeight="1" outlineLevel="1">
      <c r="A81" s="7" t="s">
        <v>31</v>
      </c>
      <c r="B81" s="9" t="s">
        <v>32</v>
      </c>
      <c r="C81" s="16">
        <f>MATCH( B81, $C$107:$XFD$107, FALSE ) - 1</f>
        <v>1</v>
      </c>
    </row>
    <row r="82" spans="1:3" ht="18.600000000000001" hidden="1" customHeight="1" outlineLevel="1">
      <c r="A82" s="7" t="s">
        <v>33</v>
      </c>
      <c r="B82" s="9" t="s">
        <v>34</v>
      </c>
      <c r="C82" s="16">
        <f>MATCH( B82, $C$107:$XFD$107, FALSE ) - 1</f>
        <v>2</v>
      </c>
    </row>
    <row r="83" spans="1:3" ht="18.600000000000001" hidden="1" customHeight="1" outlineLevel="1">
      <c r="A83" s="7" t="s">
        <v>35</v>
      </c>
      <c r="B83" s="9" t="s">
        <v>36</v>
      </c>
      <c r="C83" s="16">
        <f>MATCH( B83, $C$107:$XFD$107, FALSE ) - 1</f>
        <v>3</v>
      </c>
    </row>
    <row r="84" spans="1:3" ht="18.600000000000001" hidden="1" customHeight="1" outlineLevel="1">
      <c r="A84" s="7" t="s">
        <v>37</v>
      </c>
      <c r="B84" s="9" t="s">
        <v>38</v>
      </c>
      <c r="C84" s="16">
        <f>MATCH( B84, $C$107:$XFD$107, FALSE ) - 1</f>
        <v>4</v>
      </c>
    </row>
    <row r="85" spans="1:3" ht="18.600000000000001" customHeight="1" collapsed="1"/>
    <row r="86" spans="1:3" ht="18.600000000000001" customHeight="1">
      <c r="A86" s="11" t="s">
        <v>74</v>
      </c>
      <c r="B86" s="6"/>
    </row>
    <row r="87" spans="1:3" ht="18.600000000000001" hidden="1" customHeight="1" outlineLevel="1">
      <c r="A87" s="7"/>
      <c r="B87" s="8" t="s">
        <v>45</v>
      </c>
      <c r="C87" s="15" t="s">
        <v>30</v>
      </c>
    </row>
    <row r="88" spans="1:3" ht="18.600000000000001" hidden="1" customHeight="1" outlineLevel="1">
      <c r="A88" s="7" t="s">
        <v>31</v>
      </c>
      <c r="B88" s="9" t="s">
        <v>32</v>
      </c>
      <c r="C88" s="16">
        <f>MATCH( B88, $C$107:$XFD$107, FALSE ) - 1</f>
        <v>1</v>
      </c>
    </row>
    <row r="89" spans="1:3" ht="18.600000000000001" hidden="1" customHeight="1" outlineLevel="1">
      <c r="A89" s="7" t="s">
        <v>33</v>
      </c>
      <c r="B89" s="9" t="s">
        <v>34</v>
      </c>
      <c r="C89" s="16">
        <f>MATCH( B89, $C$107:$XFD$107, FALSE ) - 1</f>
        <v>2</v>
      </c>
    </row>
    <row r="90" spans="1:3" ht="18.600000000000001" hidden="1" customHeight="1" outlineLevel="1">
      <c r="A90" s="7" t="s">
        <v>35</v>
      </c>
      <c r="B90" s="9" t="s">
        <v>36</v>
      </c>
      <c r="C90" s="16">
        <f>MATCH( B90, $C$107:$XFD$107, FALSE ) - 1</f>
        <v>3</v>
      </c>
    </row>
    <row r="91" spans="1:3" ht="18.600000000000001" hidden="1" customHeight="1" outlineLevel="1">
      <c r="A91" s="7" t="s">
        <v>37</v>
      </c>
      <c r="B91" s="9" t="s">
        <v>38</v>
      </c>
      <c r="C91" s="16">
        <f>MATCH( B91, $C$107:$XFD$107, FALSE ) - 1</f>
        <v>4</v>
      </c>
    </row>
    <row r="92" spans="1:3" ht="18.600000000000001" customHeight="1" collapsed="1">
      <c r="B92" s="6"/>
    </row>
    <row r="93" spans="1:3" ht="18.600000000000001" customHeight="1">
      <c r="A93" s="11" t="s">
        <v>87</v>
      </c>
      <c r="B93" s="6"/>
    </row>
    <row r="94" spans="1:3" ht="18.600000000000001" hidden="1" customHeight="1" outlineLevel="1">
      <c r="A94" s="7"/>
      <c r="B94" s="8" t="s">
        <v>45</v>
      </c>
      <c r="C94" s="15" t="s">
        <v>30</v>
      </c>
    </row>
    <row r="95" spans="1:3" ht="18.600000000000001" hidden="1" customHeight="1" outlineLevel="1">
      <c r="A95" s="7" t="s">
        <v>31</v>
      </c>
      <c r="B95" s="9" t="s">
        <v>34</v>
      </c>
      <c r="C95" s="16">
        <f>MATCH( B95, $C$107:$XFD$107, FALSE ) - 1</f>
        <v>2</v>
      </c>
    </row>
    <row r="96" spans="1:3" ht="18.600000000000001" hidden="1" customHeight="1" outlineLevel="1">
      <c r="A96" s="7" t="s">
        <v>33</v>
      </c>
      <c r="B96" s="9" t="s">
        <v>182</v>
      </c>
      <c r="C96" s="16">
        <f>MATCH( B96, $C$107:$XFD$107, FALSE ) - 1</f>
        <v>8</v>
      </c>
    </row>
    <row r="97" spans="1:37" ht="18.600000000000001" customHeight="1" collapsed="1"/>
    <row r="98" spans="1:37" ht="18.600000000000001" customHeight="1">
      <c r="A98" s="11" t="s">
        <v>88</v>
      </c>
      <c r="B98" s="6"/>
    </row>
    <row r="99" spans="1:37" ht="18.600000000000001" hidden="1" customHeight="1" outlineLevel="1">
      <c r="A99" s="7"/>
      <c r="B99" s="8" t="s">
        <v>45</v>
      </c>
      <c r="C99" s="15" t="s">
        <v>30</v>
      </c>
    </row>
    <row r="100" spans="1:37" ht="18.600000000000001" hidden="1" customHeight="1" outlineLevel="1">
      <c r="A100" s="7" t="s">
        <v>31</v>
      </c>
      <c r="B100" s="9" t="s">
        <v>32</v>
      </c>
      <c r="C100" s="16">
        <f>MATCH( B100, $C$107:$XFD$107, FALSE ) - 1</f>
        <v>1</v>
      </c>
    </row>
    <row r="101" spans="1:37" ht="18.600000000000001" hidden="1" customHeight="1" outlineLevel="1">
      <c r="A101" s="7" t="s">
        <v>33</v>
      </c>
      <c r="B101" s="9" t="s">
        <v>34</v>
      </c>
      <c r="C101" s="16">
        <f>MATCH( B101, $C$107:$XFD$107, FALSE ) - 1</f>
        <v>2</v>
      </c>
    </row>
    <row r="102" spans="1:37" ht="18.600000000000001" hidden="1" customHeight="1" outlineLevel="1">
      <c r="A102" s="7" t="s">
        <v>35</v>
      </c>
      <c r="B102" s="9" t="s">
        <v>36</v>
      </c>
      <c r="C102" s="16">
        <f>MATCH( B102, $C$107:$XFD$107, FALSE ) - 1</f>
        <v>3</v>
      </c>
    </row>
    <row r="103" spans="1:37" ht="18.600000000000001" hidden="1" customHeight="1" outlineLevel="1">
      <c r="A103" s="7" t="s">
        <v>37</v>
      </c>
      <c r="B103" s="9" t="s">
        <v>38</v>
      </c>
      <c r="C103" s="16">
        <f>MATCH( B103, $C$107:$XFD$107, FALSE ) - 1</f>
        <v>4</v>
      </c>
    </row>
    <row r="104" spans="1:37" ht="18.600000000000001" customHeight="1" collapsed="1">
      <c r="H104" s="3" t="s">
        <v>184</v>
      </c>
      <c r="I104" s="3" t="s">
        <v>190</v>
      </c>
      <c r="L104" s="3" t="s">
        <v>90</v>
      </c>
      <c r="M104" s="3" t="s">
        <v>90</v>
      </c>
      <c r="N104" s="3" t="s">
        <v>90</v>
      </c>
      <c r="O104" s="3" t="s">
        <v>90</v>
      </c>
      <c r="P104" s="3" t="s">
        <v>90</v>
      </c>
      <c r="Q104" s="3" t="s">
        <v>90</v>
      </c>
      <c r="R104" s="3" t="s">
        <v>90</v>
      </c>
      <c r="S104" s="3" t="s">
        <v>90</v>
      </c>
      <c r="T104" s="3" t="s">
        <v>90</v>
      </c>
      <c r="U104" s="3" t="s">
        <v>90</v>
      </c>
      <c r="V104" s="3" t="s">
        <v>90</v>
      </c>
      <c r="W104" s="3" t="s">
        <v>90</v>
      </c>
      <c r="X104" s="3" t="s">
        <v>90</v>
      </c>
    </row>
    <row r="105" spans="1:37" ht="18.600000000000001" customHeight="1">
      <c r="A105" s="11" t="s">
        <v>49</v>
      </c>
      <c r="H105" s="3" t="s">
        <v>185</v>
      </c>
      <c r="I105" s="3" t="s">
        <v>191</v>
      </c>
      <c r="L105" s="3" t="s">
        <v>91</v>
      </c>
      <c r="M105" s="3" t="s">
        <v>92</v>
      </c>
      <c r="N105" s="3" t="s">
        <v>93</v>
      </c>
      <c r="O105" s="3" t="s">
        <v>94</v>
      </c>
      <c r="P105" s="3" t="s">
        <v>95</v>
      </c>
      <c r="Q105" s="3" t="s">
        <v>96</v>
      </c>
      <c r="R105" s="3" t="s">
        <v>97</v>
      </c>
      <c r="S105" s="3" t="s">
        <v>98</v>
      </c>
      <c r="T105" s="3" t="s">
        <v>99</v>
      </c>
      <c r="U105" s="3" t="s">
        <v>100</v>
      </c>
      <c r="V105" s="3" t="s">
        <v>101</v>
      </c>
      <c r="W105" s="3" t="s">
        <v>102</v>
      </c>
      <c r="X105" s="3" t="s">
        <v>103</v>
      </c>
    </row>
    <row r="106" spans="1:37" ht="18.600000000000001" customHeight="1" outlineLevel="1">
      <c r="A106" s="7"/>
      <c r="B106" s="7"/>
      <c r="C106" s="15"/>
      <c r="D106" s="1" t="s">
        <v>39</v>
      </c>
      <c r="E106" s="1"/>
      <c r="F106" s="1"/>
      <c r="G106" s="1"/>
      <c r="H106" s="1"/>
      <c r="I106" s="1"/>
      <c r="J106" s="1"/>
      <c r="K106" s="8" t="s">
        <v>40</v>
      </c>
      <c r="L106" s="1" t="s">
        <v>89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 t="s">
        <v>130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8.600000000000001" customHeight="1" outlineLevel="1">
      <c r="A107" s="7" t="s">
        <v>47</v>
      </c>
      <c r="B107" s="7" t="s">
        <v>48</v>
      </c>
      <c r="C107" s="15" t="s">
        <v>46</v>
      </c>
      <c r="D107" s="12" t="s">
        <v>32</v>
      </c>
      <c r="E107" s="12" t="s">
        <v>34</v>
      </c>
      <c r="F107" s="12" t="s">
        <v>36</v>
      </c>
      <c r="G107" s="12" t="s">
        <v>38</v>
      </c>
      <c r="H107" s="12" t="s">
        <v>186</v>
      </c>
      <c r="I107" s="12" t="s">
        <v>188</v>
      </c>
      <c r="J107" s="7" t="s">
        <v>76</v>
      </c>
      <c r="K107" s="8" t="s">
        <v>183</v>
      </c>
      <c r="L107" s="7" t="s">
        <v>105</v>
      </c>
      <c r="M107" s="7" t="s">
        <v>107</v>
      </c>
      <c r="N107" s="7" t="s">
        <v>109</v>
      </c>
      <c r="O107" s="7" t="s">
        <v>111</v>
      </c>
      <c r="P107" s="7" t="s">
        <v>113</v>
      </c>
      <c r="Q107" s="7" t="s">
        <v>115</v>
      </c>
      <c r="R107" s="7" t="s">
        <v>117</v>
      </c>
      <c r="S107" s="7" t="s">
        <v>119</v>
      </c>
      <c r="T107" s="7" t="s">
        <v>121</v>
      </c>
      <c r="U107" s="7" t="s">
        <v>123</v>
      </c>
      <c r="V107" s="7" t="s">
        <v>125</v>
      </c>
      <c r="W107" s="7" t="s">
        <v>127</v>
      </c>
      <c r="X107" s="7" t="s">
        <v>129</v>
      </c>
      <c r="Y107" s="7" t="s">
        <v>143</v>
      </c>
      <c r="Z107" s="7" t="s">
        <v>145</v>
      </c>
      <c r="AA107" s="7" t="s">
        <v>147</v>
      </c>
      <c r="AB107" s="7" t="s">
        <v>149</v>
      </c>
      <c r="AC107" s="7" t="s">
        <v>151</v>
      </c>
      <c r="AD107" s="7" t="s">
        <v>152</v>
      </c>
      <c r="AE107" s="7" t="s">
        <v>153</v>
      </c>
      <c r="AF107" s="7" t="s">
        <v>154</v>
      </c>
      <c r="AG107" s="7" t="s">
        <v>155</v>
      </c>
      <c r="AH107" s="7" t="s">
        <v>156</v>
      </c>
      <c r="AI107" s="7" t="s">
        <v>157</v>
      </c>
      <c r="AJ107" s="7" t="s">
        <v>158</v>
      </c>
      <c r="AK107" s="7" t="s">
        <v>159</v>
      </c>
    </row>
    <row r="108" spans="1:37" ht="18.600000000000001" customHeight="1" outlineLevel="1">
      <c r="A108" s="7" t="s">
        <v>50</v>
      </c>
      <c r="B108" s="7" t="s">
        <v>50</v>
      </c>
      <c r="C108" s="16" t="s">
        <v>41</v>
      </c>
      <c r="D108" s="13" t="s">
        <v>42</v>
      </c>
      <c r="E108" s="13" t="str">
        <f>"doxy/lang_"&amp;C108</f>
        <v>doxy/lang_ja</v>
      </c>
      <c r="F108" s="13" t="str">
        <f>"doxy/doxygen_warnings_" &amp; $C108 &amp; ".log"</f>
        <v>doxy/doxygen_warnings_ja.log</v>
      </c>
      <c r="G108" s="13" t="str">
        <f>"doc/"&amp;$C108&amp; "/" &amp; $B$35</f>
        <v>doc/ja/README.md</v>
      </c>
      <c r="H108" s="13" t="str">
        <f t="shared" ref="H108:I109" si="2">H$104 &amp; $C108 &amp; H$105</f>
        <v>doxy/layout_ja.xml</v>
      </c>
      <c r="I108" s="13" t="str">
        <f t="shared" si="2"/>
        <v>api core platform resource "doc/ja"</v>
      </c>
      <c r="J108" s="13" t="str">
        <f>"doxyfile."&amp;$C108</f>
        <v>doxyfile.ja</v>
      </c>
      <c r="K108" s="10" t="str">
        <f>"open_"&amp;$C108&amp;".bat"</f>
        <v>open_ja.bat</v>
      </c>
      <c r="L108" s="13" t="str">
        <f t="shared" ref="L108:X109" si="3">L$104 &amp; $C108 &amp; L$105</f>
        <v>md_doc_2ja_2_s_e_t_u_p.html</v>
      </c>
      <c r="M108" s="13" t="str">
        <f t="shared" si="3"/>
        <v>md_doc_2ja_2setup_2cpp.html</v>
      </c>
      <c r="N108" s="13" t="str">
        <f t="shared" si="3"/>
        <v>md_doc_2ja_2setup_2py.html</v>
      </c>
      <c r="O108" s="13" t="str">
        <f t="shared" si="3"/>
        <v>md_doc_2ja_2setup_2cs.html</v>
      </c>
      <c r="P108" s="13" t="str">
        <f t="shared" si="3"/>
        <v>md_doc_2ja_2setup_2java.html</v>
      </c>
      <c r="Q108" s="13" t="str">
        <f t="shared" si="3"/>
        <v>md_doc_2ja_2setup_2js.html</v>
      </c>
      <c r="R108" s="13" t="str">
        <f t="shared" si="3"/>
        <v>md_doc_2ja_2_h_o_w_t_o.html</v>
      </c>
      <c r="S108" s="13" t="str">
        <f t="shared" si="3"/>
        <v>md_doc_2ja_2howto_2cpp.html</v>
      </c>
      <c r="T108" s="13" t="str">
        <f t="shared" si="3"/>
        <v>md_doc_2ja_2howto_2py.html</v>
      </c>
      <c r="U108" s="13" t="str">
        <f t="shared" si="3"/>
        <v>md_doc_2ja_2howto_2cs.html</v>
      </c>
      <c r="V108" s="13" t="str">
        <f t="shared" si="3"/>
        <v>md_doc_2ja_2howto_2java.html</v>
      </c>
      <c r="W108" s="13" t="str">
        <f t="shared" si="3"/>
        <v>md_doc_2ja_2howto_2js.html</v>
      </c>
      <c r="X108" s="13" t="str">
        <f t="shared" si="3"/>
        <v>md_doc_2ja_2_l_i_c_e_n_s_e.html</v>
      </c>
      <c r="Y108" s="18" t="s">
        <v>131</v>
      </c>
      <c r="Z108" s="13" t="s">
        <v>132</v>
      </c>
      <c r="AA108" s="13" t="s">
        <v>133</v>
      </c>
      <c r="AB108" s="13" t="s">
        <v>134</v>
      </c>
      <c r="AC108" s="13" t="s">
        <v>135</v>
      </c>
      <c r="AD108" s="13" t="s">
        <v>136</v>
      </c>
      <c r="AE108" s="18" t="s">
        <v>138</v>
      </c>
      <c r="AF108" s="13" t="s">
        <v>132</v>
      </c>
      <c r="AG108" s="13" t="s">
        <v>133</v>
      </c>
      <c r="AH108" s="13" t="s">
        <v>134</v>
      </c>
      <c r="AI108" s="13" t="s">
        <v>135</v>
      </c>
      <c r="AJ108" s="13" t="s">
        <v>136</v>
      </c>
      <c r="AK108" s="18" t="s">
        <v>141</v>
      </c>
    </row>
    <row r="109" spans="1:37" ht="18.600000000000001" customHeight="1" outlineLevel="1">
      <c r="A109" s="7" t="s">
        <v>51</v>
      </c>
      <c r="B109" s="7" t="s">
        <v>43</v>
      </c>
      <c r="C109" s="16" t="s">
        <v>44</v>
      </c>
      <c r="D109" s="13" t="s">
        <v>43</v>
      </c>
      <c r="E109" s="13" t="str">
        <f>"doxy/lang_"&amp;C109</f>
        <v>doxy/lang_en</v>
      </c>
      <c r="F109" s="13" t="str">
        <f>"doxy/doxygen_warnings_" &amp; $C109 &amp; ".log"</f>
        <v>doxy/doxygen_warnings_en.log</v>
      </c>
      <c r="G109" s="13" t="str">
        <f>"doc/"&amp;$C109&amp; "/" &amp; $B$35</f>
        <v>doc/en/README.md</v>
      </c>
      <c r="H109" s="13" t="str">
        <f t="shared" si="2"/>
        <v>doxy/layout_en.xml</v>
      </c>
      <c r="I109" s="13" t="str">
        <f t="shared" si="2"/>
        <v>api core platform resource "doc/en"</v>
      </c>
      <c r="J109" s="13" t="str">
        <f>"doxyfile."&amp;$C109</f>
        <v>doxyfile.en</v>
      </c>
      <c r="K109" s="10" t="str">
        <f>"open_"&amp;$C109&amp;".bat"</f>
        <v>open_en.bat</v>
      </c>
      <c r="L109" s="13" t="str">
        <f t="shared" si="3"/>
        <v>md_doc_2en_2_s_e_t_u_p.html</v>
      </c>
      <c r="M109" s="13" t="str">
        <f t="shared" si="3"/>
        <v>md_doc_2en_2setup_2cpp.html</v>
      </c>
      <c r="N109" s="13" t="str">
        <f t="shared" si="3"/>
        <v>md_doc_2en_2setup_2py.html</v>
      </c>
      <c r="O109" s="13" t="str">
        <f t="shared" si="3"/>
        <v>md_doc_2en_2setup_2cs.html</v>
      </c>
      <c r="P109" s="13" t="str">
        <f t="shared" si="3"/>
        <v>md_doc_2en_2setup_2java.html</v>
      </c>
      <c r="Q109" s="13" t="str">
        <f t="shared" si="3"/>
        <v>md_doc_2en_2setup_2js.html</v>
      </c>
      <c r="R109" s="13" t="str">
        <f t="shared" si="3"/>
        <v>md_doc_2en_2_h_o_w_t_o.html</v>
      </c>
      <c r="S109" s="13" t="str">
        <f t="shared" si="3"/>
        <v>md_doc_2en_2howto_2cpp.html</v>
      </c>
      <c r="T109" s="13" t="str">
        <f t="shared" si="3"/>
        <v>md_doc_2en_2howto_2py.html</v>
      </c>
      <c r="U109" s="13" t="str">
        <f t="shared" si="3"/>
        <v>md_doc_2en_2howto_2cs.html</v>
      </c>
      <c r="V109" s="13" t="str">
        <f t="shared" si="3"/>
        <v>md_doc_2en_2howto_2java.html</v>
      </c>
      <c r="W109" s="13" t="str">
        <f t="shared" si="3"/>
        <v>md_doc_2en_2howto_2js.html</v>
      </c>
      <c r="X109" s="13" t="str">
        <f t="shared" si="3"/>
        <v>md_doc_2en_2_l_i_c_e_n_s_e.html</v>
      </c>
      <c r="Y109" s="18" t="s">
        <v>137</v>
      </c>
      <c r="Z109" s="13" t="s">
        <v>132</v>
      </c>
      <c r="AA109" s="13" t="s">
        <v>133</v>
      </c>
      <c r="AB109" s="13" t="s">
        <v>134</v>
      </c>
      <c r="AC109" s="13" t="s">
        <v>135</v>
      </c>
      <c r="AD109" s="13" t="s">
        <v>136</v>
      </c>
      <c r="AE109" s="13" t="s">
        <v>139</v>
      </c>
      <c r="AF109" s="13" t="s">
        <v>132</v>
      </c>
      <c r="AG109" s="13" t="s">
        <v>133</v>
      </c>
      <c r="AH109" s="13" t="s">
        <v>134</v>
      </c>
      <c r="AI109" s="13" t="s">
        <v>135</v>
      </c>
      <c r="AJ109" s="13" t="s">
        <v>136</v>
      </c>
      <c r="AK109" s="13" t="s">
        <v>140</v>
      </c>
    </row>
    <row r="110" spans="1:37" ht="18.600000000000001" customHeight="1" outlineLevel="1"/>
    <row r="111" spans="1:37" ht="18.600000000000001" customHeight="1" outlineLevel="1"/>
    <row r="112" spans="1:37" ht="18.600000000000001" customHeight="1" outlineLevel="1"/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DF65-05AB-4973-B606-7F5D252D1EDA}">
  <dimension ref="B4:C10"/>
  <sheetViews>
    <sheetView workbookViewId="0">
      <selection activeCell="E14" sqref="E14"/>
    </sheetView>
  </sheetViews>
  <sheetFormatPr defaultRowHeight="17.7"/>
  <cols>
    <col min="3" max="3" width="17.5703125" bestFit="1" customWidth="1"/>
  </cols>
  <sheetData>
    <row r="4" spans="2:3">
      <c r="B4" t="s">
        <v>0</v>
      </c>
      <c r="C4" t="s">
        <v>7</v>
      </c>
    </row>
    <row r="5" spans="2:3">
      <c r="B5" t="s">
        <v>1</v>
      </c>
      <c r="C5" t="s">
        <v>8</v>
      </c>
    </row>
    <row r="6" spans="2:3">
      <c r="B6" t="s">
        <v>2</v>
      </c>
      <c r="C6" t="s">
        <v>11</v>
      </c>
    </row>
    <row r="7" spans="2:3">
      <c r="B7" t="s">
        <v>3</v>
      </c>
      <c r="C7" t="s">
        <v>10</v>
      </c>
    </row>
    <row r="8" spans="2:3">
      <c r="B8" t="s">
        <v>5</v>
      </c>
      <c r="C8" t="s">
        <v>13</v>
      </c>
    </row>
    <row r="9" spans="2:3">
      <c r="B9" t="s">
        <v>4</v>
      </c>
      <c r="C9" t="s">
        <v>12</v>
      </c>
    </row>
    <row r="10" spans="2:3">
      <c r="B10" t="s">
        <v>6</v>
      </c>
      <c r="C10" t="s">
        <v>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Lang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/>
</file>